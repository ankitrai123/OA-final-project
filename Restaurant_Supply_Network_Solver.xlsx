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mv1-my.sharepoint.com/personal/ankitkumar_rai25-01_iimv_ac_in/Documents/Desktop/PGP/Term 4/OA/final project/"/>
    </mc:Choice>
  </mc:AlternateContent>
  <xr:revisionPtr revIDLastSave="510" documentId="11_E80684E685E7BEDE891D8F507B1C8B73559AB116" xr6:coauthVersionLast="47" xr6:coauthVersionMax="47" xr10:uidLastSave="{39760B99-DB6C-4787-94AC-72F94823770D}"/>
  <bookViews>
    <workbookView xWindow="-98" yWindow="-98" windowWidth="21795" windowHeight="12975" xr2:uid="{00000000-000D-0000-FFFF-FFFF00000000}"/>
  </bookViews>
  <sheets>
    <sheet name="Network Optimization Model" sheetId="1" r:id="rId1"/>
  </sheets>
  <definedNames>
    <definedName name="solver_adj" localSheetId="0" hidden="1">'Network Optimization Model'!$C$11:$F$13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'Network Optimization Model'!$C$11:$F$13</definedName>
    <definedName name="solver_lhs2" localSheetId="0" hidden="1">'Network Optimization Model'!$C$14:$F$14</definedName>
    <definedName name="solver_lhs3" localSheetId="0" hidden="1">'Network Optimization Model'!$G$11:$G$13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'Network Optimization Model'!$C$19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1</definedName>
    <definedName name="solver_rhs1" localSheetId="0" hidden="1">"integer"</definedName>
    <definedName name="solver_rhs2" localSheetId="0" hidden="1">'Network Optimization Model'!$C$16:$F$16</definedName>
    <definedName name="solver_rhs3" localSheetId="0" hidden="1">'Network Optimization Model'!$H$11:$H$13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F14" i="1"/>
  <c r="E14" i="1"/>
  <c r="D14" i="1"/>
  <c r="C14" i="1"/>
  <c r="G13" i="1"/>
  <c r="G12" i="1"/>
  <c r="G11" i="1"/>
</calcChain>
</file>

<file path=xl/sharedStrings.xml><?xml version="1.0" encoding="utf-8"?>
<sst xmlns="http://schemas.openxmlformats.org/spreadsheetml/2006/main" count="24" uniqueCount="16">
  <si>
    <t>DELIVERY COST MATRIX (₹ per unit)</t>
  </si>
  <si>
    <t>Supplier \ Category</t>
  </si>
  <si>
    <t>Poultry (Chicken)</t>
  </si>
  <si>
    <t>Vegetables</t>
  </si>
  <si>
    <t>Dairy &amp; Cheese</t>
  </si>
  <si>
    <t>Beverage Syrups</t>
  </si>
  <si>
    <t>Local Farm Co.</t>
  </si>
  <si>
    <t>City Central Market</t>
  </si>
  <si>
    <t>Metro Wholesale</t>
  </si>
  <si>
    <t>DECISION VARIABLES: UNITS TO ORDER (Changing Cells)</t>
  </si>
  <si>
    <t>Total Ordered</t>
  </si>
  <si>
    <t>Max Capacity</t>
  </si>
  <si>
    <t>Total Received</t>
  </si>
  <si>
    <t>Weekly Demand</t>
  </si>
  <si>
    <t>OBJECTIVE: MINIMIZE TOTAL PROCUREMENT COST</t>
  </si>
  <si>
    <t>Total Cost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</si>
</sst>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392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workbookViewId="0">
      <selection activeCell="F22" sqref="F22"/>
    </sheetView>
  </sheetViews>
  <sheetFormatPr defaultRowHeight="14.25" x14ac:dyDescent="0.45"/>
  <cols>
    <col min="2" max="2" width="22.73046875" customWidth="1"/>
    <col min="3" max="7" width="16.73046875" customWidth="1"/>
    <col min="8" max="8" width="18.73046875" customWidth="1"/>
  </cols>
  <sheetData>
    <row r="2" spans="2:8" ht="15.75" x14ac:dyDescent="0.5">
      <c r="B2" s="1" t="s">
        <v>0</v>
      </c>
    </row>
    <row r="3" spans="2:8" x14ac:dyDescent="0.4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8" x14ac:dyDescent="0.45">
      <c r="B4" s="3" t="s">
        <v>6</v>
      </c>
      <c r="C4" s="4">
        <v>670</v>
      </c>
      <c r="D4" s="4">
        <v>640</v>
      </c>
      <c r="E4" s="4">
        <v>702</v>
      </c>
      <c r="F4" s="4">
        <v>644</v>
      </c>
    </row>
    <row r="5" spans="2:8" x14ac:dyDescent="0.45">
      <c r="B5" s="3" t="s">
        <v>7</v>
      </c>
      <c r="C5" s="4">
        <v>1548</v>
      </c>
      <c r="D5" s="4">
        <v>1551</v>
      </c>
      <c r="E5" s="4">
        <v>1468</v>
      </c>
      <c r="F5" s="4">
        <v>1643</v>
      </c>
    </row>
    <row r="6" spans="2:8" x14ac:dyDescent="0.45">
      <c r="B6" s="3" t="s">
        <v>8</v>
      </c>
      <c r="C6" s="4">
        <v>1621</v>
      </c>
      <c r="D6" s="4">
        <v>1558</v>
      </c>
      <c r="E6" s="4">
        <v>1657</v>
      </c>
      <c r="F6" s="4">
        <v>1515</v>
      </c>
    </row>
    <row r="9" spans="2:8" ht="15.75" x14ac:dyDescent="0.5">
      <c r="B9" s="1" t="s">
        <v>9</v>
      </c>
    </row>
    <row r="10" spans="2:8" x14ac:dyDescent="0.45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10</v>
      </c>
      <c r="H10" s="2" t="s">
        <v>11</v>
      </c>
    </row>
    <row r="11" spans="2:8" x14ac:dyDescent="0.45">
      <c r="B11" s="3" t="s">
        <v>6</v>
      </c>
      <c r="C11" s="5">
        <v>0</v>
      </c>
      <c r="D11" s="5">
        <v>350</v>
      </c>
      <c r="E11" s="5">
        <v>0</v>
      </c>
      <c r="F11" s="5">
        <v>0</v>
      </c>
      <c r="G11" s="6">
        <f>SUM(C11:F11)</f>
        <v>350</v>
      </c>
      <c r="H11" s="6">
        <v>350</v>
      </c>
    </row>
    <row r="12" spans="2:8" x14ac:dyDescent="0.45">
      <c r="B12" s="3" t="s">
        <v>7</v>
      </c>
      <c r="C12" s="5">
        <v>300</v>
      </c>
      <c r="D12" s="5">
        <v>100</v>
      </c>
      <c r="E12" s="5">
        <v>200</v>
      </c>
      <c r="F12" s="5">
        <v>0</v>
      </c>
      <c r="G12" s="6">
        <f>SUM(C12:F12)</f>
        <v>600</v>
      </c>
      <c r="H12" s="6">
        <v>600</v>
      </c>
    </row>
    <row r="13" spans="2:8" x14ac:dyDescent="0.45">
      <c r="B13" s="3" t="s">
        <v>8</v>
      </c>
      <c r="C13" s="5">
        <v>0</v>
      </c>
      <c r="D13" s="5">
        <v>0</v>
      </c>
      <c r="E13" s="5">
        <v>0</v>
      </c>
      <c r="F13" s="5">
        <v>250</v>
      </c>
      <c r="G13" s="6">
        <f>SUM(C13:F13)</f>
        <v>250</v>
      </c>
      <c r="H13" s="6">
        <v>1000</v>
      </c>
    </row>
    <row r="14" spans="2:8" x14ac:dyDescent="0.45">
      <c r="B14" s="2" t="s">
        <v>12</v>
      </c>
      <c r="C14" s="6">
        <f>SUM(C11:C13)</f>
        <v>300</v>
      </c>
      <c r="D14" s="6">
        <f>SUM(D11:D13)</f>
        <v>450</v>
      </c>
      <c r="E14" s="6">
        <f>SUM(E11:E13)</f>
        <v>200</v>
      </c>
      <c r="F14" s="6">
        <f>SUM(F11:F13)</f>
        <v>250</v>
      </c>
    </row>
    <row r="16" spans="2:8" x14ac:dyDescent="0.45">
      <c r="B16" s="2" t="s">
        <v>13</v>
      </c>
      <c r="C16" s="6">
        <v>300</v>
      </c>
      <c r="D16" s="6">
        <v>450</v>
      </c>
      <c r="E16" s="6">
        <v>200</v>
      </c>
      <c r="F16" s="6">
        <v>250</v>
      </c>
    </row>
    <row r="18" spans="2:3" ht="15.75" x14ac:dyDescent="0.5">
      <c r="B18" s="1" t="s">
        <v>14</v>
      </c>
    </row>
    <row r="19" spans="2:3" x14ac:dyDescent="0.45">
      <c r="B19" s="3" t="s">
        <v>15</v>
      </c>
      <c r="C19" s="7">
        <f>SUMPRODUCT(C4:F6, C11:F13)</f>
        <v>1515850</v>
      </c>
    </row>
    <row r="22" spans="2:3" ht="15.75" x14ac:dyDescent="0.5">
      <c r="B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Optimization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 Rai</cp:lastModifiedBy>
  <dcterms:created xsi:type="dcterms:W3CDTF">2026-08-22T22:27:33Z</dcterms:created>
  <dcterms:modified xsi:type="dcterms:W3CDTF">2026-08-22T22:32:51Z</dcterms:modified>
</cp:coreProperties>
</file>